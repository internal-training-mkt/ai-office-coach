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10d2806f647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65f1b5f5df014824"/>
    <x:sheet xmlns:r="http://schemas.openxmlformats.org/officeDocument/2006/relationships" name="Raw Data" sheetId="2" r:id="R6b930a8c29f44839"/>
    <x:sheet xmlns:r="http://schemas.openxmlformats.org/officeDocument/2006/relationships" name="Analysis" sheetId="3" r:id="Rd922919a1d804b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HK$&quot;#,##0"/>
    <x:numFmt numFmtId="201" formatCode="0.0%"/>
    <x:numFmt numFmtId="202" formatCode="#,##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675B"/>
      <x:name val="Carlito"/>
    </x:font>
    <x:font>
      <x:b/>
      <x:sz val="11"/>
      <x:color rgb="FFFFFFFF"/>
      <x:name val="Carlito"/>
    </x:font>
    <x:font>
      <x:b/>
      <x:sz val="11"/>
      <x:color rgb="FF173D4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D43"/>
      </x:patternFill>
    </x:fill>
    <x:fill>
      <x:patternFill patternType="solid">
        <x:fgColor rgb="FFE7F5F1"/>
      </x:patternFill>
    </x:fill>
    <x:fill>
      <x:patternFill patternType="solid">
        <x:fgColor rgb="FF0F6B5F"/>
      </x:patternFill>
    </x:fill>
    <x:fill>
      <x:patternFill patternType="solid">
        <x:fgColor rgb="FFF1B51C"/>
      </x:patternFill>
    </x:fill>
  </x:fills>
  <x:borders count="10">
    <x:border/>
    <x:border>
      <x:right style="thin">
        <x:color rgb="FFE2E8E8"/>
      </x:right>
      <x:bottom style="thin">
        <x:color rgb="FFE2E8E8"/>
      </x:bottom>
    </x:border>
    <x:border>
      <x:left style="thin">
        <x:color rgb="FFE2E8E8"/>
      </x:left>
      <x:right style="thin">
        <x:color rgb="FFE2E8E8"/>
      </x:right>
      <x:bottom style="thin">
        <x:color rgb="FFE2E8E8"/>
      </x:bottom>
    </x:border>
    <x:border>
      <x:left style="thin">
        <x:color rgb="FFE2E8E8"/>
      </x:left>
      <x:bottom style="thin">
        <x:color rgb="FFE2E8E8"/>
      </x:bottom>
    </x:border>
    <x:border>
      <x:right style="thin">
        <x:color rgb="FFE2E8E8"/>
      </x:right>
      <x:top style="thin">
        <x:color rgb="FFE2E8E8"/>
      </x:top>
      <x:bottom style="thin">
        <x:color rgb="FFE2E8E8"/>
      </x:bottom>
    </x:border>
    <x:border>
      <x:left style="thin">
        <x:color rgb="FFE2E8E8"/>
      </x:left>
      <x:right style="thin">
        <x:color rgb="FFE2E8E8"/>
      </x:right>
      <x:top style="thin">
        <x:color rgb="FFE2E8E8"/>
      </x:top>
      <x:bottom style="thin">
        <x:color rgb="FFE2E8E8"/>
      </x:bottom>
    </x:border>
    <x:border>
      <x:left style="thin">
        <x:color rgb="FFE2E8E8"/>
      </x:left>
      <x:top style="thin">
        <x:color rgb="FFE2E8E8"/>
      </x:top>
      <x:bottom style="thin">
        <x:color rgb="FFE2E8E8"/>
      </x:bottom>
    </x:border>
    <x:border>
      <x:right style="thin">
        <x:color rgb="FFE2E8E8"/>
      </x:right>
      <x:top style="thin">
        <x:color rgb="FFE2E8E8"/>
      </x:top>
    </x:border>
    <x:border>
      <x:left style="thin">
        <x:color rgb="FFE2E8E8"/>
      </x:left>
      <x:right style="thin">
        <x:color rgb="FFE2E8E8"/>
      </x:right>
      <x:top style="thin">
        <x:color rgb="FFE2E8E8"/>
      </x:top>
    </x:border>
    <x:border>
      <x:left style="thin">
        <x:color rgb="FFE2E8E8"/>
      </x:left>
      <x:top style="thin">
        <x:color rgb="FFE2E8E8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4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12bbbe4c094c18" /><Relationship Type="http://schemas.openxmlformats.org/officeDocument/2006/relationships/theme" Target="/xl/theme/theme1.xml" Id="R6d264fe884d0468f" /><Relationship Type="http://schemas.openxmlformats.org/officeDocument/2006/relationships/sharedStrings" Target="/xl/sharedStrings.xml" Id="Rf2b5f8ab7aca40dc" /><Relationship Type="http://schemas.openxmlformats.org/officeDocument/2006/relationships/worksheet" Target="/xl/worksheets/sheet1.xml" Id="R65f1b5f5df014824" /><Relationship Type="http://schemas.openxmlformats.org/officeDocument/2006/relationships/worksheet" Target="/xl/worksheets/sheet2.xml" Id="R6b930a8c29f44839" /><Relationship Type="http://schemas.openxmlformats.org/officeDocument/2006/relationships/worksheet" Target="/xl/worksheets/sheet3.xml" Id="Rd922919a1d804b3b" /></Relationships>
</file>

<file path=xl/tables/table1.xml><?xml version="1.0" encoding="utf-8"?>
<x:table xmlns:x="http://schemas.openxmlformats.org/spreadsheetml/2006/main" id="1" name="PracticeRawData" displayName="PracticeRawData" ref="A1:K13" headerRowCount="1" totalsRowCount="0" totalsRowShown="0">
  <x:tableColumns count="11">
    <x:tableColumn id="1" name="Month"/>
    <x:tableColumn id="2" name="Region"/>
    <x:tableColumn id="3" name="Customer Type"/>
    <x:tableColumn id="4" name="Product Category"/>
    <x:tableColumn id="5" name="Revenue (HKD)"/>
    <x:tableColumn id="6" name="Gross Profit (HKD)"/>
    <x:tableColumn id="7" name="Leads"/>
    <x:tableColumn id="8" name="Qualified Leads"/>
    <x:tableColumn id="9" name="Orders"/>
    <x:tableColumn id="10" name="Follow-up Days"/>
    <x:tableColumn id="11" name="Risk 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7cc546db0344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2" t="str">
        <x:v>AI Workshop Practice Dataset</x:v>
      </x:c>
      <x:c r="B1" s="2"/>
      <x:c r="C1" s="2"/>
      <x:c r="D1" s="2"/>
      <x:c r="E1" s="2"/>
      <x:c r="F1" s="2"/>
    </x:row>
    <x:row r="3" ht="36" customHeight="1">
      <x:c r="A3" s="5" t="str">
        <x:v>Purpose</x:v>
      </x:c>
      <x:c r="B3" s="6" t="str">
        <x:v>A fictional dataset for Excel analysis and PowerPoint storytelling</x:v>
      </x:c>
      <x:c r="C3" s="6" t="str"/>
      <x:c r="D3" s="6" t="str"/>
      <x:c r="E3" s="6" t="str"/>
      <x:c r="F3" s="6" t="str"/>
    </x:row>
    <x:row r="4" ht="36" customHeight="1">
      <x:c r="A4" s="5" t="str">
        <x:v>Safety</x:v>
      </x:c>
      <x:c r="B4" s="6" t="str">
        <x:v>All organisations, figures and scenarios are fictional. Do not add real company or customer data.</x:v>
      </x:c>
      <x:c r="C4" s="6" t="str"/>
      <x:c r="D4" s="6" t="str"/>
      <x:c r="E4" s="6" t="str"/>
      <x:c r="F4" s="6" t="str"/>
    </x:row>
    <x:row r="5" ht="36" customHeight="1">
      <x:c r="A5" s="5" t="str">
        <x:v>Excel task</x:v>
      </x:c>
      <x:c r="B5" s="6" t="str">
        <x:v>Analyse revenue, gross margin, conversion, follow-up and risk. Keep Raw Data unchanged.</x:v>
      </x:c>
      <x:c r="C5" s="6" t="str"/>
      <x:c r="D5" s="6" t="str"/>
      <x:c r="E5" s="6" t="str"/>
      <x:c r="F5" s="6" t="str"/>
    </x:row>
    <x:row r="6" ht="36" customHeight="1">
      <x:c r="A6" s="5" t="str">
        <x:v>PowerPoint task</x:v>
      </x:c>
      <x:c r="B6" s="6" t="str">
        <x:v>Create a 6-slide management review using only verified calculations from the workbook.</x:v>
      </x:c>
      <x:c r="C6" s="6" t="str"/>
      <x:c r="D6" s="6" t="str"/>
      <x:c r="E6" s="6" t="str"/>
      <x:c r="F6" s="6" t="str"/>
    </x:row>
    <x:row r="7" ht="36" customHeight="1">
      <x:c r="A7" s="5" t="str">
        <x:v>Human check</x:v>
      </x:c>
      <x:c r="B7" s="6" t="str">
        <x:v>Recalculate key metrics, distinguish pipeline from confirmed revenue, and flag assumptions.</x:v>
      </x:c>
      <x:c r="C7" s="6" t="str"/>
      <x:c r="D7" s="6" t="str"/>
      <x:c r="E7" s="6" t="str"/>
      <x:c r="F7" s="6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9" hidden="0" customWidth="1"/>
  </x:cols>
  <x:sheetData>
    <x:row r="1" ht="34" customHeight="1">
      <x:c r="A1" s="9" t="str">
        <x:v>Month</x:v>
      </x:c>
      <x:c r="B1" s="9" t="str">
        <x:v>Region</x:v>
      </x:c>
      <x:c r="C1" s="9" t="str">
        <x:v>Customer Type</x:v>
      </x:c>
      <x:c r="D1" s="9" t="str">
        <x:v>Product Category</x:v>
      </x:c>
      <x:c r="E1" s="9" t="str">
        <x:v>Revenue (HKD)</x:v>
      </x:c>
      <x:c r="F1" s="9" t="str">
        <x:v>Gross Profit (HKD)</x:v>
      </x:c>
      <x:c r="G1" s="9" t="str">
        <x:v>Leads</x:v>
      </x:c>
      <x:c r="H1" s="9" t="str">
        <x:v>Qualified Leads</x:v>
      </x:c>
      <x:c r="I1" s="9" t="str">
        <x:v>Orders</x:v>
      </x:c>
      <x:c r="J1" s="9" t="str">
        <x:v>Follow-up Days</x:v>
      </x:c>
      <x:c r="K1" s="9" t="str">
        <x:v>Risk Status</x:v>
      </x:c>
    </x:row>
    <x:row r="2">
      <x:c r="A2" s="10" t="str">
        <x:v>2026-01</x:v>
      </x:c>
      <x:c r="B2" s="11" t="str">
        <x:v>North</x:v>
      </x:c>
      <x:c r="C2" s="11" t="str">
        <x:v>Hospital</x:v>
      </x:c>
      <x:c r="D2" s="11" t="str">
        <x:v>Disinfectant Wipes</x:v>
      </x:c>
      <x:c r="E2" s="19" t="n">
        <x:v>118000</x:v>
      </x:c>
      <x:c r="F2" s="19" t="n">
        <x:v>47200</x:v>
      </x:c>
      <x:c r="G2" s="11" t="n">
        <x:v>36</x:v>
      </x:c>
      <x:c r="H2" s="11" t="n">
        <x:v>8</x:v>
      </x:c>
      <x:c r="I2" s="11" t="n">
        <x:v>2</x:v>
      </x:c>
      <x:c r="J2" s="11" t="n">
        <x:v>14</x:v>
      </x:c>
      <x:c r="K2" s="12" t="str">
        <x:v>On track</x:v>
      </x:c>
    </x:row>
    <x:row r="3">
      <x:c r="A3" s="13" t="str">
        <x:v>2026-01</x:v>
      </x:c>
      <x:c r="B3" s="14" t="str">
        <x:v>East</x:v>
      </x:c>
      <x:c r="C3" s="14" t="str">
        <x:v>Clinic</x:v>
      </x:c>
      <x:c r="D3" s="14" t="str">
        <x:v>Surgical Masks</x:v>
      </x:c>
      <x:c r="E3" s="20" t="n">
        <x:v>82000</x:v>
      </x:c>
      <x:c r="F3" s="20" t="n">
        <x:v>24600</x:v>
      </x:c>
      <x:c r="G3" s="14" t="n">
        <x:v>28</x:v>
      </x:c>
      <x:c r="H3" s="14" t="n">
        <x:v>5</x:v>
      </x:c>
      <x:c r="I3" s="14" t="n">
        <x:v>1</x:v>
      </x:c>
      <x:c r="J3" s="14" t="n">
        <x:v>9</x:v>
      </x:c>
      <x:c r="K3" s="15" t="str">
        <x:v>Follow-up due</x:v>
      </x:c>
    </x:row>
    <x:row r="4">
      <x:c r="A4" s="13" t="str">
        <x:v>2026-01</x:v>
      </x:c>
      <x:c r="B4" s="14" t="str">
        <x:v>South</x:v>
      </x:c>
      <x:c r="C4" s="14" t="str">
        <x:v>Distributor</x:v>
      </x:c>
      <x:c r="D4" s="14" t="str">
        <x:v>Examination Gloves</x:v>
      </x:c>
      <x:c r="E4" s="20" t="n">
        <x:v>105000</x:v>
      </x:c>
      <x:c r="F4" s="20" t="n">
        <x:v>31500</x:v>
      </x:c>
      <x:c r="G4" s="14" t="n">
        <x:v>31</x:v>
      </x:c>
      <x:c r="H4" s="14" t="n">
        <x:v>7</x:v>
      </x:c>
      <x:c r="I4" s="14" t="n">
        <x:v>3</x:v>
      </x:c>
      <x:c r="J4" s="14" t="n">
        <x:v>17</x:v>
      </x:c>
      <x:c r="K4" s="15" t="str">
        <x:v>Payment overdue</x:v>
      </x:c>
    </x:row>
    <x:row r="5">
      <x:c r="A5" s="13" t="str">
        <x:v>2026-02</x:v>
      </x:c>
      <x:c r="B5" s="14" t="str">
        <x:v>North</x:v>
      </x:c>
      <x:c r="C5" s="14" t="str">
        <x:v>Hospital</x:v>
      </x:c>
      <x:c r="D5" s="14" t="str">
        <x:v>Disinfectant Wipes</x:v>
      </x:c>
      <x:c r="E5" s="20" t="n">
        <x:v>126000</x:v>
      </x:c>
      <x:c r="F5" s="20" t="n">
        <x:v>51660</x:v>
      </x:c>
      <x:c r="G5" s="14" t="n">
        <x:v>42</x:v>
      </x:c>
      <x:c r="H5" s="14" t="n">
        <x:v>9</x:v>
      </x:c>
      <x:c r="I5" s="14" t="n">
        <x:v>3</x:v>
      </x:c>
      <x:c r="J5" s="14" t="n">
        <x:v>16</x:v>
      </x:c>
      <x:c r="K5" s="15" t="str">
        <x:v>On track</x:v>
      </x:c>
    </x:row>
    <x:row r="6">
      <x:c r="A6" s="13" t="str">
        <x:v>2026-02</x:v>
      </x:c>
      <x:c r="B6" s="14" t="str">
        <x:v>East</x:v>
      </x:c>
      <x:c r="C6" s="14" t="str">
        <x:v>Clinic</x:v>
      </x:c>
      <x:c r="D6" s="14" t="str">
        <x:v>Surgical Masks</x:v>
      </x:c>
      <x:c r="E6" s="20" t="n">
        <x:v>76000</x:v>
      </x:c>
      <x:c r="F6" s="20" t="n">
        <x:v>21280</x:v>
      </x:c>
      <x:c r="G6" s="14" t="n">
        <x:v>25</x:v>
      </x:c>
      <x:c r="H6" s="14" t="n">
        <x:v>4</x:v>
      </x:c>
      <x:c r="I6" s="14" t="n">
        <x:v>2</x:v>
      </x:c>
      <x:c r="J6" s="14" t="n">
        <x:v>12</x:v>
      </x:c>
      <x:c r="K6" s="15" t="str">
        <x:v>Follow-up due</x:v>
      </x:c>
    </x:row>
    <x:row r="7">
      <x:c r="A7" s="13" t="str">
        <x:v>2026-02</x:v>
      </x:c>
      <x:c r="B7" s="14" t="str">
        <x:v>South</x:v>
      </x:c>
      <x:c r="C7" s="14" t="str">
        <x:v>Distributor</x:v>
      </x:c>
      <x:c r="D7" s="14" t="str">
        <x:v>Examination Gloves</x:v>
      </x:c>
      <x:c r="E7" s="20" t="n">
        <x:v>112000</x:v>
      </x:c>
      <x:c r="F7" s="20" t="n">
        <x:v>34720</x:v>
      </x:c>
      <x:c r="G7" s="14" t="n">
        <x:v>35</x:v>
      </x:c>
      <x:c r="H7" s="14" t="n">
        <x:v>8</x:v>
      </x:c>
      <x:c r="I7" s="14" t="n">
        <x:v>2</x:v>
      </x:c>
      <x:c r="J7" s="14" t="n">
        <x:v>19</x:v>
      </x:c>
      <x:c r="K7" s="15" t="str">
        <x:v>Tender pending</x:v>
      </x:c>
    </x:row>
    <x:row r="8">
      <x:c r="A8" s="13" t="str">
        <x:v>2026-03</x:v>
      </x:c>
      <x:c r="B8" s="14" t="str">
        <x:v>North</x:v>
      </x:c>
      <x:c r="C8" s="14" t="str">
        <x:v>Hospital</x:v>
      </x:c>
      <x:c r="D8" s="14" t="str">
        <x:v>Disinfectant Wipes</x:v>
      </x:c>
      <x:c r="E8" s="20" t="n">
        <x:v>139000</x:v>
      </x:c>
      <x:c r="F8" s="20" t="n">
        <x:v>58380</x:v>
      </x:c>
      <x:c r="G8" s="14" t="n">
        <x:v>48</x:v>
      </x:c>
      <x:c r="H8" s="14" t="n">
        <x:v>11</x:v>
      </x:c>
      <x:c r="I8" s="14" t="n">
        <x:v>4</x:v>
      </x:c>
      <x:c r="J8" s="14" t="n">
        <x:v>18</x:v>
      </x:c>
      <x:c r="K8" s="15" t="str">
        <x:v>On track</x:v>
      </x:c>
    </x:row>
    <x:row r="9">
      <x:c r="A9" s="13" t="str">
        <x:v>2026-03</x:v>
      </x:c>
      <x:c r="B9" s="14" t="str">
        <x:v>East</x:v>
      </x:c>
      <x:c r="C9" s="14" t="str">
        <x:v>Clinic</x:v>
      </x:c>
      <x:c r="D9" s="14" t="str">
        <x:v>Surgical Masks</x:v>
      </x:c>
      <x:c r="E9" s="20" t="n">
        <x:v>91000</x:v>
      </x:c>
      <x:c r="F9" s="20" t="n">
        <x:v>27300</x:v>
      </x:c>
      <x:c r="G9" s="14" t="n">
        <x:v>33</x:v>
      </x:c>
      <x:c r="H9" s="14" t="n">
        <x:v>6</x:v>
      </x:c>
      <x:c r="I9" s="14" t="n">
        <x:v>2</x:v>
      </x:c>
      <x:c r="J9" s="14" t="n">
        <x:v>11</x:v>
      </x:c>
      <x:c r="K9" s="15" t="str">
        <x:v>Sample requested</x:v>
      </x:c>
    </x:row>
    <x:row r="10">
      <x:c r="A10" s="13" t="str">
        <x:v>2026-03</x:v>
      </x:c>
      <x:c r="B10" s="14" t="str">
        <x:v>South</x:v>
      </x:c>
      <x:c r="C10" s="14" t="str">
        <x:v>Distributor</x:v>
      </x:c>
      <x:c r="D10" s="14" t="str">
        <x:v>Examination Gloves</x:v>
      </x:c>
      <x:c r="E10" s="20" t="n">
        <x:v>98000</x:v>
      </x:c>
      <x:c r="F10" s="20" t="n">
        <x:v>28420</x:v>
      </x:c>
      <x:c r="G10" s="14" t="n">
        <x:v>29</x:v>
      </x:c>
      <x:c r="H10" s="14" t="n">
        <x:v>5</x:v>
      </x:c>
      <x:c r="I10" s="14" t="n">
        <x:v>1</x:v>
      </x:c>
      <x:c r="J10" s="14" t="n">
        <x:v>23</x:v>
      </x:c>
      <x:c r="K10" s="15" t="str">
        <x:v>Payment overdue</x:v>
      </x:c>
    </x:row>
    <x:row r="11">
      <x:c r="A11" s="13" t="str">
        <x:v>2026-04</x:v>
      </x:c>
      <x:c r="B11" s="14" t="str">
        <x:v>North</x:v>
      </x:c>
      <x:c r="C11" s="14" t="str">
        <x:v>Hospital</x:v>
      </x:c>
      <x:c r="D11" s="14" t="str">
        <x:v>Disinfectant Wipes</x:v>
      </x:c>
      <x:c r="E11" s="20" t="n">
        <x:v>147000</x:v>
      </x:c>
      <x:c r="F11" s="20" t="n">
        <x:v>61740</x:v>
      </x:c>
      <x:c r="G11" s="14" t="n">
        <x:v>52</x:v>
      </x:c>
      <x:c r="H11" s="14" t="n">
        <x:v>12</x:v>
      </x:c>
      <x:c r="I11" s="14" t="n">
        <x:v>5</x:v>
      </x:c>
      <x:c r="J11" s="14" t="n">
        <x:v>20</x:v>
      </x:c>
      <x:c r="K11" s="15" t="str">
        <x:v>Tender pending</x:v>
      </x:c>
    </x:row>
    <x:row r="12">
      <x:c r="A12" s="13" t="str">
        <x:v>2026-04</x:v>
      </x:c>
      <x:c r="B12" s="14" t="str">
        <x:v>East</x:v>
      </x:c>
      <x:c r="C12" s="14" t="str">
        <x:v>Clinic</x:v>
      </x:c>
      <x:c r="D12" s="14" t="str">
        <x:v>Surgical Masks</x:v>
      </x:c>
      <x:c r="E12" s="20" t="n">
        <x:v>88000</x:v>
      </x:c>
      <x:c r="F12" s="20" t="n">
        <x:v>25520</x:v>
      </x:c>
      <x:c r="G12" s="14" t="n">
        <x:v>30</x:v>
      </x:c>
      <x:c r="H12" s="14" t="n">
        <x:v>5</x:v>
      </x:c>
      <x:c r="I12" s="14" t="n">
        <x:v>2</x:v>
      </x:c>
      <x:c r="J12" s="14" t="n">
        <x:v>15</x:v>
      </x:c>
      <x:c r="K12" s="15" t="str">
        <x:v>Follow-up due</x:v>
      </x:c>
    </x:row>
    <x:row r="13">
      <x:c r="A13" s="16" t="str">
        <x:v>2026-04</x:v>
      </x:c>
      <x:c r="B13" s="17" t="str">
        <x:v>South</x:v>
      </x:c>
      <x:c r="C13" s="17" t="str">
        <x:v>Distributor</x:v>
      </x:c>
      <x:c r="D13" s="17" t="str">
        <x:v>Examination Gloves</x:v>
      </x:c>
      <x:c r="E13" s="21" t="n">
        <x:v>121000</x:v>
      </x:c>
      <x:c r="F13" s="21" t="n">
        <x:v>37510</x:v>
      </x:c>
      <x:c r="G13" s="17" t="n">
        <x:v>39</x:v>
      </x:c>
      <x:c r="H13" s="17" t="n">
        <x:v>9</x:v>
      </x:c>
      <x:c r="I13" s="17" t="n">
        <x:v>3</x:v>
      </x:c>
      <x:c r="J13" s="17" t="n">
        <x:v>21</x:v>
      </x:c>
      <x:c r="K13" s="18" t="str">
        <x:v>On track</x:v>
      </x:c>
    </x:row>
  </x:sheetData>
  <x:pageMargins left="0.7" right="0.7" top="0.75" bottom="0.75" header="0.3" footer="0.3"/>
  <x:tableParts count="1">
    <x:tablePart xmlns:r="http://schemas.openxmlformats.org/officeDocument/2006/relationships" r:id="R147cc546db0344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4" max="4" width="8" hidden="0" customWidth="1"/>
    <x:col min="5" max="5" width="24" hidden="0" customWidth="1"/>
    <x:col min="6" max="6" width="24" hidden="0" customWidth="1"/>
  </x:cols>
  <x:sheetData>
    <x:row r="1" ht="34" customHeight="1">
      <x:c r="A1" s="2" t="str">
        <x:v>Analysis Workspace</x:v>
      </x:c>
      <x:c r="B1" s="2"/>
      <x:c r="C1" s="2"/>
      <x:c r="D1" s="2"/>
      <x:c r="E1" s="2"/>
      <x:c r="F1" s="2"/>
    </x:row>
    <x:row r="3">
      <x:c r="A3" s="8" t="str">
        <x:v>KPI</x:v>
      </x:c>
      <x:c r="B3" s="8" t="str">
        <x:v>Formula / result</x:v>
      </x:c>
      <x:c r="D3" s="28" t="str">
        <x:v>Management questions</x:v>
      </x:c>
      <x:c r="E3" s="28" t="str"/>
      <x:c r="F3" s="28" t="str"/>
    </x:row>
    <x:row r="4">
      <x:c r="A4" s="22" t="str">
        <x:v>Total Revenue</x:v>
      </x:c>
      <x:c r="B4" s="23" t="n">
        <x:f>SUM('Raw Data'!E2:E13)</x:f>
        <x:v>1303000</x:v>
      </x:c>
      <x:c r="D4" s="6" t="str">
        <x:v>1</x:v>
      </x:c>
      <x:c r="E4" s="6" t="str">
        <x:v>Which product has the highest revenue?</x:v>
      </x:c>
      <x:c r="F4" s="6" t="str"/>
    </x:row>
    <x:row r="5">
      <x:c r="A5" s="22" t="str">
        <x:v>Total Gross Profit</x:v>
      </x:c>
      <x:c r="B5" s="23" t="n">
        <x:f>SUM('Raw Data'!F2:F13)</x:f>
        <x:v>449830</x:v>
      </x:c>
      <x:c r="D5" s="6" t="str">
        <x:v>2</x:v>
      </x:c>
      <x:c r="E5" s="6" t="str">
        <x:v>Which product has the strongest gross margin?</x:v>
      </x:c>
      <x:c r="F5" s="6" t="str"/>
    </x:row>
    <x:row r="6">
      <x:c r="A6" s="22" t="str">
        <x:v>Gross Margin</x:v>
      </x:c>
      <x:c r="B6" s="24" t="n">
        <x:f>B5/B4</x:f>
        <x:v>0.34522640061396775</x:v>
      </x:c>
      <x:c r="D6" s="6" t="str">
        <x:v>3</x:v>
      </x:c>
      <x:c r="E6" s="6" t="str">
        <x:v>Where are follow-up delays greatest?</x:v>
      </x:c>
      <x:c r="F6" s="6" t="str"/>
    </x:row>
    <x:row r="7">
      <x:c r="A7" s="22" t="str">
        <x:v>Total Leads</x:v>
      </x:c>
      <x:c r="B7" s="25" t="n">
        <x:f>SUM('Raw Data'!G2:G13)</x:f>
        <x:v>428</x:v>
      </x:c>
      <x:c r="D7" s="6" t="str">
        <x:v>4</x:v>
      </x:c>
      <x:c r="E7" s="6" t="str">
        <x:v>Which risks need immediate action?</x:v>
      </x:c>
      <x:c r="F7" s="6" t="str"/>
    </x:row>
    <x:row r="8">
      <x:c r="A8" s="22" t="str">
        <x:v>Orders</x:v>
      </x:c>
      <x:c r="B8" s="25" t="n">
        <x:f>SUM('Raw Data'!I2:I13)</x:f>
        <x:v>30</x:v>
      </x:c>
      <x:c r="D8" s="6" t="str">
        <x:v>5</x:v>
      </x:c>
      <x:c r="E8" s="6" t="str">
        <x:v>What two charts best support a decision?</x:v>
      </x:c>
      <x:c r="F8" s="6" t="str"/>
    </x:row>
    <x:row r="9">
      <x:c r="A9" s="22" t="str">
        <x:v>Lead-to-order Conversion</x:v>
      </x:c>
      <x:c r="B9" s="24" t="n">
        <x:f>B8/B7</x:f>
        <x:v>0.07009345794392523</x:v>
      </x:c>
    </x:row>
  </x:sheetData>
  <x:mergeCells>
    <x:mergeCell ref="A1:F1"/>
  </x:mergeCells>
  <x:pageMargins left="0.7" right="0.7" top="0.75" bottom="0.75" header="0.3" footer="0.3"/>
</x:worksheet>
</file>